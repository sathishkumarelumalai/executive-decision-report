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I Calculator" sheetId="1" state="visible" r:id="rId3"/>
    <sheet name="Timeli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<sst xmlns="http://schemas.openxmlformats.org/spreadsheetml/2006/main" count="43" uniqueCount="43">
  <si>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ROI Calculator – 3 Recommendations x 3 Scenarios</t>
  </si>
  <si>
    <t xml:space="preserve">Yellow cells (blue text) are inputs. Values match the notebook (sample data, $). Currency: $.</t>
  </si>
  <si>
    <t xml:space="preserve">Scenario multipliers (share of expected gain achieved)</t>
  </si>
  <si>
    <t xml:space="preserve">Conservative</t>
  </si>
  <si>
    <t xml:space="preserve">Expected</t>
  </si>
  <si>
    <t xml:space="preserve">Optimistic</t>
  </si>
  <si>
    <t xml:space="preserve">Recommendation</t>
  </si>
  <si>
    <t xml:space="preserve">Annual gain (expected)</t>
  </si>
  <si>
    <t xml:space="preserve">Investment</t>
  </si>
  <si>
    <t xml:space="preserve">Conservative gain</t>
  </si>
  <si>
    <t xml:space="preserve">Expected gain</t>
  </si>
  <si>
    <t xml:space="preserve">Optimistic gain</t>
  </si>
  <si>
    <t xml:space="preserve">ROI % (Cons.)</t>
  </si>
  <si>
    <t xml:space="preserve">ROI % (Exp.)</t>
  </si>
  <si>
    <t xml:space="preserve">ROI % (Opt.)</t>
  </si>
  <si>
    <t xml:space="preserve">Payback months (Exp.)</t>
  </si>
  <si>
    <t xml:space="preserve">Assumption / source</t>
  </si>
  <si>
    <t xml:space="preserve">R1: Discount governance</t>
  </si>
  <si>
    <t xml:space="preserve">Recovers 50% of losses on orders with discount &gt;20%</t>
  </si>
  <si>
    <t xml:space="preserve">R2: Scale best region</t>
  </si>
  <si>
    <t xml:space="preserve">8% lift in South (best region) profit</t>
  </si>
  <si>
    <t xml:space="preserve">R3: Top-customer retention</t>
  </si>
  <si>
    <t xml:space="preserve">5% profit uplift on top-20% customers</t>
  </si>
  <si>
    <t xml:space="preserve">TOTAL</t>
  </si>
  <si>
    <t xml:space="preserve">ROI % = (Gain − Investment) / Investment × 100   |   Payback (months) = Investment / (Annual gain / 12)</t>
  </si>
  <si>
    <t xml:space="preserve">Phase</t>
  </si>
  <si>
    <t xml:space="preserve">Start month</t>
  </si>
  <si>
    <t xml:space="preserve">End month</t>
  </si>
  <si>
    <t xml:space="preserve">Activities</t>
  </si>
  <si>
    <t xml:space="preserve">Owner</t>
  </si>
  <si>
    <t xml:space="preserve">KPI</t>
  </si>
  <si>
    <t xml:space="preserve">Pilot</t>
  </si>
  <si>
    <t xml:space="preserve">Test in one segment</t>
  </si>
  <si>
    <t xml:space="preserve">Ops lead</t>
  </si>
  <si>
    <t xml:space="preserve">Lift vs baseline</t>
  </si>
  <si>
    <t xml:space="preserve">Rollout</t>
  </si>
  <si>
    <t xml:space="preserve">Scale to all regions</t>
  </si>
  <si>
    <t xml:space="preserve">Business head</t>
  </si>
  <si>
    <t xml:space="preserve">Revenue / margin change</t>
  </si>
  <si>
    <t xml:space="preserve">Optimize</t>
  </si>
  <si>
    <t xml:space="preserve">Review and adjust</t>
  </si>
  <si>
    <t xml:space="preserve">Analytics team</t>
  </si>
  <si>
    <t xml:space="preserve">ROI achieved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</si>
</sst>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4"/>
    <col collapsed="false" customWidth="true" hidden="false" outlineLevel="0" max="11" min="11" style="1" width="5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0.6</v>
      </c>
      <c r="C5" s="5" t="s">
        <v>4</v>
      </c>
      <c r="D5" s="6" t="n">
        <v>1</v>
      </c>
      <c r="E5" s="5" t="s">
        <v>5</v>
      </c>
      <c r="F5" s="6" t="n">
        <v>1.3</v>
      </c>
    </row>
    <row r="7" customFormat="false" ht="31.5" hidden="false" customHeight="tru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</row>
    <row r="8" customFormat="false" ht="15" hidden="false" customHeight="true" outlineLevel="0" collapsed="false">
      <c r="A8" s="5" t="s">
        <v>17</v>
      </c>
      <c r="B8" s="6" t="n">
        <v>17051.2</v>
      </c>
      <c r="C8" s="6" t="n">
        <v>3355.2</v>
      </c>
      <c r="D8" s="5" t="n">
        <f aca="false">B8*$B$5</f>
        <v>10230.72</v>
      </c>
      <c r="E8" s="5" t="n">
        <f aca="false">B8*$D$5</f>
        <v>17051.2</v>
      </c>
      <c r="F8" s="5" t="n">
        <f aca="false">B8*$F$5</f>
        <v>22166.56</v>
      </c>
      <c r="G8" s="8" t="n">
        <f aca="false">(D8-C8)/C8*100</f>
        <v>204.921316165951</v>
      </c>
      <c r="H8" s="8" t="n">
        <f aca="false">(E8-C8)/C8*100</f>
        <v>408.202193609919</v>
      </c>
      <c r="I8" s="8" t="n">
        <f aca="false">(F8-C8)/C8*100</f>
        <v>560.662851692895</v>
      </c>
      <c r="J8" s="8" t="n">
        <f aca="false">C8/(E8/12)</f>
        <v>2.36126489631228</v>
      </c>
      <c r="K8" s="5" t="s">
        <v>18</v>
      </c>
    </row>
    <row r="9" customFormat="false" ht="15" hidden="false" customHeight="true" outlineLevel="0" collapsed="false">
      <c r="A9" s="5" t="s">
        <v>19</v>
      </c>
      <c r="B9" s="6" t="n">
        <v>15666.9</v>
      </c>
      <c r="C9" s="6" t="n">
        <v>6710.4</v>
      </c>
      <c r="D9" s="5" t="n">
        <f aca="false">B9*$B$5</f>
        <v>9400.14</v>
      </c>
      <c r="E9" s="5" t="n">
        <f aca="false">B9*$D$5</f>
        <v>15666.9</v>
      </c>
      <c r="F9" s="5" t="n">
        <f aca="false">B9*$F$5</f>
        <v>20366.97</v>
      </c>
      <c r="G9" s="8" t="n">
        <f aca="false">(D9-C9)/C9*100</f>
        <v>40.0831545064378</v>
      </c>
      <c r="H9" s="8" t="n">
        <f aca="false">(E9-C9)/C9*100</f>
        <v>133.471924177396</v>
      </c>
      <c r="I9" s="8" t="n">
        <f aca="false">(F9-C9)/C9*100</f>
        <v>203.513501430615</v>
      </c>
      <c r="J9" s="8" t="n">
        <f aca="false">C9/(E9/12)</f>
        <v>5.13980430078701</v>
      </c>
      <c r="K9" s="5" t="s">
        <v>20</v>
      </c>
    </row>
    <row r="10" customFormat="false" ht="15" hidden="false" customHeight="true" outlineLevel="0" collapsed="false">
      <c r="A10" s="5" t="s">
        <v>21</v>
      </c>
      <c r="B10" s="6" t="n">
        <v>10608.4</v>
      </c>
      <c r="C10" s="6" t="n">
        <v>5032.8</v>
      </c>
      <c r="D10" s="5" t="n">
        <f aca="false">B10*$B$5</f>
        <v>6365.04</v>
      </c>
      <c r="E10" s="5" t="n">
        <f aca="false">B10*$D$5</f>
        <v>10608.4</v>
      </c>
      <c r="F10" s="5" t="n">
        <f aca="false">B10*$F$5</f>
        <v>13790.92</v>
      </c>
      <c r="G10" s="8" t="n">
        <f aca="false">(D10-C10)/C10*100</f>
        <v>26.4711492608488</v>
      </c>
      <c r="H10" s="8" t="n">
        <f aca="false">(E10-C10)/C10*100</f>
        <v>110.785248768081</v>
      </c>
      <c r="I10" s="8" t="n">
        <f aca="false">(F10-C10)/C10*100</f>
        <v>174.020823398506</v>
      </c>
      <c r="J10" s="8" t="n">
        <f aca="false">C10/(E10/12)</f>
        <v>5.69299800158365</v>
      </c>
      <c r="K10" s="5" t="s">
        <v>22</v>
      </c>
    </row>
    <row r="11" customFormat="false" ht="15" hidden="false" customHeight="true" outlineLevel="0" collapsed="false">
      <c r="A11" s="4" t="s">
        <v>23</v>
      </c>
      <c r="B11" s="4" t="n">
        <f aca="false">SUM(B8:B10)</f>
        <v>43326.5</v>
      </c>
      <c r="C11" s="4" t="n">
        <f aca="false">SUM(C8:C10)</f>
        <v>15098.4</v>
      </c>
      <c r="D11" s="4" t="n">
        <f aca="false">SUM(D8:D10)</f>
        <v>25995.9</v>
      </c>
      <c r="E11" s="4" t="n">
        <f aca="false">SUM(E8:E10)</f>
        <v>43326.5</v>
      </c>
      <c r="F11" s="4" t="n">
        <f aca="false">SUM(F8:F10)</f>
        <v>56324.45</v>
      </c>
      <c r="G11" s="9" t="n">
        <f aca="false">(D11-C11)/C11*100</f>
        <v>72.1765220155778</v>
      </c>
      <c r="H11" s="9" t="n">
        <f aca="false">(E11-C11)/C11*100</f>
        <v>186.960870025963</v>
      </c>
      <c r="I11" s="9" t="n">
        <f aca="false">(F11-C11)/C11*100</f>
        <v>273.049131033752</v>
      </c>
      <c r="J11" s="9" t="n">
        <f aca="false">C11/(E11/12)</f>
        <v>4.18175481518239</v>
      </c>
      <c r="K11" s="4"/>
    </row>
    <row r="13" customFormat="false" ht="15" hidden="false" customHeight="true" outlineLevel="0" collapsed="false">
      <c r="A13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26"/>
  </cols>
  <sheetData>
    <row r="1" customFormat="false" ht="15" hidden="false" customHeight="true" outlineLevel="0" collapsed="false">
      <c r="A1" s="11" t="s">
        <v>25</v>
      </c>
      <c r="B1" s="11" t="s">
        <v>26</v>
      </c>
      <c r="C1" s="11" t="s">
        <v>27</v>
      </c>
      <c r="D1" s="11" t="s">
        <v>28</v>
      </c>
      <c r="E1" s="11" t="s">
        <v>29</v>
      </c>
      <c r="F1" s="11" t="s">
        <v>30</v>
      </c>
    </row>
    <row r="2" customFormat="false" ht="15" hidden="false" customHeight="true" outlineLevel="0" collapsed="false">
      <c r="A2" s="5" t="s">
        <v>31</v>
      </c>
      <c r="B2" s="5" t="n">
        <v>0</v>
      </c>
      <c r="C2" s="5" t="n">
        <v>1</v>
      </c>
      <c r="D2" s="5" t="s">
        <v>32</v>
      </c>
      <c r="E2" s="5" t="s">
        <v>33</v>
      </c>
      <c r="F2" s="5" t="s">
        <v>34</v>
      </c>
    </row>
    <row r="3" customFormat="false" ht="15" hidden="false" customHeight="true" outlineLevel="0" collapsed="false">
      <c r="A3" s="5" t="s">
        <v>35</v>
      </c>
      <c r="B3" s="5" t="n">
        <v>2</v>
      </c>
      <c r="C3" s="5" t="n">
        <v>4</v>
      </c>
      <c r="D3" s="5" t="s">
        <v>36</v>
      </c>
      <c r="E3" s="5" t="s">
        <v>37</v>
      </c>
      <c r="F3" s="5" t="s">
        <v>38</v>
      </c>
    </row>
    <row r="4" customFormat="false" ht="15" hidden="false" customHeight="true" outlineLevel="0" collapsed="false">
      <c r="A4" s="5" t="s">
        <v>39</v>
      </c>
      <c r="B4" s="5" t="n">
        <v>5</v>
      </c>
      <c r="C4" s="5" t="n">
        <v>6</v>
      </c>
      <c r="D4" s="5" t="s">
        <v>40</v>
      </c>
      <c r="E4" s="5" t="s">
        <v>41</v>
      </c>
      <c r="F4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2026-10-07T15:58:50Z</dcterms:created>
  <dc:creator>openpyxl</dc:creator>
  <dc:description/>
  <dc:language>en-US</dc:language>
  <cp:lastModifiedBy/>
  <dcterms:modified xsi:type="dcterms:W3CDTF">2026-10-07T16:06:08Z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